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Course\FL03034-Experimentacao-Florestal\Slides\04-DIC-Pratica\data\"/>
    </mc:Choice>
  </mc:AlternateContent>
  <xr:revisionPtr revIDLastSave="0" documentId="13_ncr:1_{66B087CB-E655-42A6-A06F-B1253CA71516}" xr6:coauthVersionLast="47" xr6:coauthVersionMax="47" xr10:uidLastSave="{00000000-0000-0000-0000-000000000000}"/>
  <bookViews>
    <workbookView xWindow="-110" yWindow="-110" windowWidth="25820" windowHeight="13900" tabRatio="500" xr2:uid="{00000000-000D-0000-FFFF-FFFF00000000}"/>
  </bookViews>
  <sheets>
    <sheet name="DIC-Pimentel-Gomes-2002-Org-Cal" sheetId="1" r:id="rId1"/>
  </sheets>
  <definedNames>
    <definedName name="_xlchart.v1.0" hidden="1">'DIC-Pimentel-Gomes-2002-Org-Cal'!$A$2:$A$41</definedName>
    <definedName name="_xlchart.v1.1" hidden="1">'DIC-Pimentel-Gomes-2002-Org-Cal'!$C$1</definedName>
    <definedName name="_xlchart.v1.10" hidden="1">'DIC-Pimentel-Gomes-2002-Org-Cal'!$K$1</definedName>
    <definedName name="_xlchart.v1.11" hidden="1">'DIC-Pimentel-Gomes-2002-Org-Cal'!$K$2:$K$11</definedName>
    <definedName name="_xlchart.v1.12" hidden="1">'DIC-Pimentel-Gomes-2002-Org-Cal'!$J$2:$J$11</definedName>
    <definedName name="_xlchart.v1.13" hidden="1">'DIC-Pimentel-Gomes-2002-Org-Cal'!$K$1</definedName>
    <definedName name="_xlchart.v1.14" hidden="1">'DIC-Pimentel-Gomes-2002-Org-Cal'!$K$2:$K$11</definedName>
    <definedName name="_xlchart.v1.15" hidden="1">'DIC-Pimentel-Gomes-2002-Org-Cal'!$J$2:$J$11</definedName>
    <definedName name="_xlchart.v1.16" hidden="1">'DIC-Pimentel-Gomes-2002-Org-Cal'!$K$1</definedName>
    <definedName name="_xlchart.v1.17" hidden="1">'DIC-Pimentel-Gomes-2002-Org-Cal'!$K$2:$K$11</definedName>
    <definedName name="_xlchart.v1.18" hidden="1">'DIC-Pimentel-Gomes-2002-Org-Cal'!$J$2:$J$11</definedName>
    <definedName name="_xlchart.v1.19" hidden="1">'DIC-Pimentel-Gomes-2002-Org-Cal'!$K$1</definedName>
    <definedName name="_xlchart.v1.2" hidden="1">'DIC-Pimentel-Gomes-2002-Org-Cal'!$C$2:$C$41</definedName>
    <definedName name="_xlchart.v1.20" hidden="1">'DIC-Pimentel-Gomes-2002-Org-Cal'!$K$2:$K$11</definedName>
    <definedName name="_xlchart.v1.3" hidden="1">'DIC-Pimentel-Gomes-2002-Org-Cal'!$J$2:$J$11</definedName>
    <definedName name="_xlchart.v1.4" hidden="1">'DIC-Pimentel-Gomes-2002-Org-Cal'!$K$1</definedName>
    <definedName name="_xlchart.v1.5" hidden="1">'DIC-Pimentel-Gomes-2002-Org-Cal'!$K$2:$K$11</definedName>
    <definedName name="_xlchart.v1.6" hidden="1">'DIC-Pimentel-Gomes-2002-Org-Cal'!$J$2:$J$11</definedName>
    <definedName name="_xlchart.v1.7" hidden="1">'DIC-Pimentel-Gomes-2002-Org-Cal'!$K$1</definedName>
    <definedName name="_xlchart.v1.8" hidden="1">'DIC-Pimentel-Gomes-2002-Org-Cal'!$K$2:$K$11</definedName>
    <definedName name="_xlchart.v1.9" hidden="1">'DIC-Pimentel-Gomes-2002-Org-Cal'!$J$2:$J$11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F2" i="1" l="1"/>
  <c r="H2" i="1"/>
  <c r="I42" i="1"/>
  <c r="C42" i="1"/>
  <c r="D11" i="1" s="1"/>
  <c r="D39" i="1"/>
  <c r="D35" i="1"/>
  <c r="D31" i="1"/>
  <c r="E31" i="1" s="1"/>
  <c r="G31" i="1" s="1"/>
  <c r="D27" i="1"/>
  <c r="D23" i="1"/>
  <c r="D19" i="1"/>
  <c r="D15" i="1"/>
  <c r="K11" i="1"/>
  <c r="K10" i="1"/>
  <c r="K9" i="1"/>
  <c r="D9" i="1"/>
  <c r="L8" i="1"/>
  <c r="K8" i="1"/>
  <c r="K7" i="1"/>
  <c r="K6" i="1"/>
  <c r="K5" i="1"/>
  <c r="K4" i="1"/>
  <c r="D4" i="1"/>
  <c r="L3" i="1"/>
  <c r="K3" i="1"/>
  <c r="K2" i="1"/>
  <c r="E13" i="1" l="1"/>
  <c r="G13" i="1" s="1"/>
  <c r="F23" i="1"/>
  <c r="H23" i="1" s="1"/>
  <c r="F19" i="1"/>
  <c r="H19" i="1" s="1"/>
  <c r="F27" i="1"/>
  <c r="H27" i="1" s="1"/>
  <c r="F35" i="1"/>
  <c r="H35" i="1" s="1"/>
  <c r="E26" i="1"/>
  <c r="G26" i="1" s="1"/>
  <c r="E38" i="1"/>
  <c r="G38" i="1" s="1"/>
  <c r="F15" i="1"/>
  <c r="H15" i="1" s="1"/>
  <c r="F39" i="1"/>
  <c r="H39" i="1" s="1"/>
  <c r="E7" i="1"/>
  <c r="G7" i="1" s="1"/>
  <c r="E11" i="1"/>
  <c r="G11" i="1" s="1"/>
  <c r="F11" i="1"/>
  <c r="H11" i="1" s="1"/>
  <c r="M3" i="1"/>
  <c r="M8" i="1"/>
  <c r="E19" i="1"/>
  <c r="G19" i="1" s="1"/>
  <c r="E23" i="1"/>
  <c r="G23" i="1" s="1"/>
  <c r="E27" i="1"/>
  <c r="G27" i="1" s="1"/>
  <c r="E39" i="1"/>
  <c r="G39" i="1" s="1"/>
  <c r="E4" i="1"/>
  <c r="G4" i="1" s="1"/>
  <c r="F31" i="1"/>
  <c r="H31" i="1" s="1"/>
  <c r="L6" i="1"/>
  <c r="L11" i="1"/>
  <c r="M6" i="1"/>
  <c r="M11" i="1"/>
  <c r="E15" i="1"/>
  <c r="G15" i="1" s="1"/>
  <c r="E9" i="1"/>
  <c r="G9" i="1" s="1"/>
  <c r="D2" i="1"/>
  <c r="E2" i="1" s="1"/>
  <c r="G2" i="1" s="1"/>
  <c r="D7" i="1"/>
  <c r="D12" i="1"/>
  <c r="E12" i="1" s="1"/>
  <c r="G12" i="1" s="1"/>
  <c r="D16" i="1"/>
  <c r="E16" i="1" s="1"/>
  <c r="G16" i="1" s="1"/>
  <c r="D20" i="1"/>
  <c r="E20" i="1" s="1"/>
  <c r="G20" i="1" s="1"/>
  <c r="D24" i="1"/>
  <c r="E24" i="1" s="1"/>
  <c r="G24" i="1" s="1"/>
  <c r="D28" i="1"/>
  <c r="D32" i="1"/>
  <c r="D36" i="1"/>
  <c r="D40" i="1"/>
  <c r="E32" i="1"/>
  <c r="G32" i="1" s="1"/>
  <c r="E40" i="1"/>
  <c r="G40" i="1" s="1"/>
  <c r="L4" i="1"/>
  <c r="L9" i="1"/>
  <c r="M4" i="1"/>
  <c r="M9" i="1"/>
  <c r="D5" i="1"/>
  <c r="D10" i="1"/>
  <c r="E10" i="1"/>
  <c r="G10" i="1" s="1"/>
  <c r="D13" i="1"/>
  <c r="D17" i="1"/>
  <c r="D21" i="1"/>
  <c r="D25" i="1"/>
  <c r="D29" i="1"/>
  <c r="D33" i="1"/>
  <c r="D37" i="1"/>
  <c r="D41" i="1"/>
  <c r="L2" i="1"/>
  <c r="L7" i="1"/>
  <c r="E21" i="1"/>
  <c r="G21" i="1" s="1"/>
  <c r="E25" i="1"/>
  <c r="G25" i="1" s="1"/>
  <c r="E29" i="1"/>
  <c r="G29" i="1" s="1"/>
  <c r="E33" i="1"/>
  <c r="G33" i="1" s="1"/>
  <c r="E37" i="1"/>
  <c r="G37" i="1" s="1"/>
  <c r="M2" i="1"/>
  <c r="M7" i="1"/>
  <c r="E36" i="1"/>
  <c r="G36" i="1" s="1"/>
  <c r="D3" i="1"/>
  <c r="E3" i="1" s="1"/>
  <c r="G3" i="1" s="1"/>
  <c r="D8" i="1"/>
  <c r="E35" i="1"/>
  <c r="G35" i="1" s="1"/>
  <c r="L5" i="1"/>
  <c r="L10" i="1"/>
  <c r="D14" i="1"/>
  <c r="D18" i="1"/>
  <c r="D22" i="1"/>
  <c r="E22" i="1" s="1"/>
  <c r="G22" i="1" s="1"/>
  <c r="D26" i="1"/>
  <c r="D30" i="1"/>
  <c r="D34" i="1"/>
  <c r="D38" i="1"/>
  <c r="M5" i="1"/>
  <c r="M10" i="1"/>
  <c r="D6" i="1"/>
  <c r="G42" i="1" l="1"/>
  <c r="F13" i="1"/>
  <c r="H13" i="1" s="1"/>
  <c r="E17" i="1"/>
  <c r="G17" i="1" s="1"/>
  <c r="E41" i="1"/>
  <c r="G41" i="1" s="1"/>
  <c r="F4" i="1"/>
  <c r="H4" i="1" s="1"/>
  <c r="F37" i="1"/>
  <c r="H37" i="1" s="1"/>
  <c r="F24" i="1"/>
  <c r="H24" i="1" s="1"/>
  <c r="F16" i="1"/>
  <c r="H16" i="1" s="1"/>
  <c r="F12" i="1"/>
  <c r="H12" i="1" s="1"/>
  <c r="F30" i="1"/>
  <c r="H30" i="1" s="1"/>
  <c r="F26" i="1"/>
  <c r="H26" i="1" s="1"/>
  <c r="F14" i="1"/>
  <c r="H14" i="1" s="1"/>
  <c r="E18" i="1"/>
  <c r="G18" i="1" s="1"/>
  <c r="F8" i="1"/>
  <c r="H8" i="1" s="1"/>
  <c r="F3" i="1"/>
  <c r="H3" i="1" s="1"/>
  <c r="F20" i="1"/>
  <c r="H20" i="1" s="1"/>
  <c r="F10" i="1"/>
  <c r="H10" i="1" s="1"/>
  <c r="F7" i="1"/>
  <c r="H7" i="1" s="1"/>
  <c r="F38" i="1"/>
  <c r="H38" i="1" s="1"/>
  <c r="E28" i="1"/>
  <c r="G28" i="1" s="1"/>
  <c r="F22" i="1"/>
  <c r="H22" i="1" s="1"/>
  <c r="E34" i="1"/>
  <c r="G34" i="1" s="1"/>
  <c r="E5" i="1"/>
  <c r="G5" i="1" s="1"/>
  <c r="E30" i="1"/>
  <c r="G30" i="1" s="1"/>
  <c r="F33" i="1"/>
  <c r="H33" i="1" s="1"/>
  <c r="F9" i="1"/>
  <c r="H9" i="1" s="1"/>
  <c r="E8" i="1"/>
  <c r="G8" i="1" s="1"/>
  <c r="F29" i="1"/>
  <c r="H29" i="1" s="1"/>
  <c r="F40" i="1"/>
  <c r="H40" i="1" s="1"/>
  <c r="F25" i="1"/>
  <c r="H25" i="1" s="1"/>
  <c r="F36" i="1"/>
  <c r="H36" i="1" s="1"/>
  <c r="E6" i="1"/>
  <c r="G6" i="1" s="1"/>
  <c r="F21" i="1"/>
  <c r="H21" i="1" s="1"/>
  <c r="F32" i="1"/>
  <c r="H32" i="1" s="1"/>
  <c r="E14" i="1"/>
  <c r="G14" i="1" s="1"/>
  <c r="F18" i="1" l="1"/>
  <c r="H18" i="1" s="1"/>
  <c r="F41" i="1"/>
  <c r="H41" i="1" s="1"/>
  <c r="F34" i="1"/>
  <c r="H34" i="1" s="1"/>
  <c r="F17" i="1"/>
  <c r="H17" i="1" s="1"/>
  <c r="F5" i="1"/>
  <c r="H5" i="1" s="1"/>
  <c r="F6" i="1"/>
  <c r="H6" i="1" s="1"/>
  <c r="H42" i="1" s="1"/>
  <c r="F28" i="1"/>
  <c r="H28" i="1" s="1"/>
</calcChain>
</file>

<file path=xl/sharedStrings.xml><?xml version="1.0" encoding="utf-8"?>
<sst xmlns="http://schemas.openxmlformats.org/spreadsheetml/2006/main" count="102" uniqueCount="26">
  <si>
    <t>Tratamento</t>
  </si>
  <si>
    <t>Média</t>
  </si>
  <si>
    <t>Média Geral</t>
  </si>
  <si>
    <t>Efeito do Tratamento</t>
  </si>
  <si>
    <t>P1</t>
  </si>
  <si>
    <t>R1</t>
  </si>
  <si>
    <t>R2</t>
  </si>
  <si>
    <t>P2</t>
  </si>
  <si>
    <t>R3</t>
  </si>
  <si>
    <t>P3</t>
  </si>
  <si>
    <t>R4</t>
  </si>
  <si>
    <t>P4</t>
  </si>
  <si>
    <t>P5</t>
  </si>
  <si>
    <t>P6</t>
  </si>
  <si>
    <t>P7</t>
  </si>
  <si>
    <t>P8</t>
  </si>
  <si>
    <t>P9</t>
  </si>
  <si>
    <t>P10</t>
  </si>
  <si>
    <r>
      <t>t</t>
    </r>
    <r>
      <rPr>
        <b/>
        <vertAlign val="subscript"/>
        <sz val="10"/>
        <rFont val="Arial"/>
        <family val="2"/>
      </rPr>
      <t>i</t>
    </r>
  </si>
  <si>
    <r>
      <t>e</t>
    </r>
    <r>
      <rPr>
        <b/>
        <vertAlign val="subscript"/>
        <sz val="10"/>
        <rFont val="Arial"/>
        <family val="2"/>
      </rPr>
      <t>ij</t>
    </r>
  </si>
  <si>
    <r>
      <t>t</t>
    </r>
    <r>
      <rPr>
        <b/>
        <vertAlign val="subscript"/>
        <sz val="10"/>
        <rFont val="Arial"/>
        <family val="2"/>
      </rPr>
      <t>i</t>
    </r>
    <r>
      <rPr>
        <b/>
        <vertAlign val="superscript"/>
        <sz val="10"/>
        <rFont val="Arial"/>
        <family val="2"/>
      </rPr>
      <t>2</t>
    </r>
  </si>
  <si>
    <r>
      <t>e</t>
    </r>
    <r>
      <rPr>
        <b/>
        <vertAlign val="subscript"/>
        <sz val="10"/>
        <rFont val="Arial"/>
        <family val="2"/>
      </rPr>
      <t>ij</t>
    </r>
    <r>
      <rPr>
        <b/>
        <vertAlign val="superscript"/>
        <sz val="10"/>
        <rFont val="Arial"/>
        <family val="2"/>
      </rPr>
      <t>2</t>
    </r>
  </si>
  <si>
    <t>d (cm)</t>
  </si>
  <si>
    <t>Média geral</t>
  </si>
  <si>
    <t>Repetição</t>
  </si>
  <si>
    <t>Progênie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</si>
</sst>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4" x14ac:knownFonts="1">
    <font>
      <sz val="10"/>
      <name val="Arial"/>
      <family val="2"/>
      <charset val="1"/>
    </font>
    <font>
      <b/>
      <sz val="10"/>
      <name val="Arial"/>
      <family val="2"/>
    </font>
    <font>
      <b/>
      <vertAlign val="subscript"/>
      <sz val="10"/>
      <name val="Arial"/>
      <family val="2"/>
    </font>
    <font>
      <b/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42"/>
  <sheetViews>
    <sheetView showGridLines="0" tabSelected="1" zoomScale="132" zoomScaleNormal="132" workbookViewId="0">
      <selection activeCell="K15" sqref="K15"/>
    </sheetView>
  </sheetViews>
  <sheetFormatPr defaultRowHeight="12.5" x14ac:dyDescent="0.25"/>
  <cols>
    <col min="1" max="1" width="11.1796875" style="1" customWidth="1"/>
    <col min="2" max="2" width="9.36328125" style="1" bestFit="1" customWidth="1"/>
    <col min="3" max="3" width="7.1796875" style="1" customWidth="1"/>
    <col min="4" max="12" width="11.54296875" style="1"/>
    <col min="13" max="13" width="17" style="1" customWidth="1"/>
    <col min="14" max="1025" width="11.54296875" style="1"/>
  </cols>
  <sheetData>
    <row r="1" spans="1:13" ht="16" x14ac:dyDescent="0.4">
      <c r="A1" s="7" t="s">
        <v>25</v>
      </c>
      <c r="B1" s="7" t="s">
        <v>24</v>
      </c>
      <c r="C1" s="7" t="s">
        <v>22</v>
      </c>
      <c r="D1" s="7" t="s">
        <v>23</v>
      </c>
      <c r="E1" s="7" t="s">
        <v>18</v>
      </c>
      <c r="F1" s="7" t="s">
        <v>19</v>
      </c>
      <c r="G1" s="7" t="s">
        <v>20</v>
      </c>
      <c r="H1" s="7" t="s">
        <v>21</v>
      </c>
      <c r="J1" s="1" t="s">
        <v>0</v>
      </c>
      <c r="K1" s="1" t="s">
        <v>1</v>
      </c>
      <c r="L1" s="1" t="s">
        <v>2</v>
      </c>
      <c r="M1" s="1" t="s">
        <v>3</v>
      </c>
    </row>
    <row r="2" spans="1:13" x14ac:dyDescent="0.25">
      <c r="A2" s="5" t="s">
        <v>4</v>
      </c>
      <c r="B2" s="5" t="s">
        <v>5</v>
      </c>
      <c r="C2" s="5">
        <v>16</v>
      </c>
      <c r="D2" s="6">
        <f t="shared" ref="D2:D41" si="0">$C$42</f>
        <v>12.412499999999998</v>
      </c>
      <c r="E2" s="6">
        <f>$K$2-D2</f>
        <v>2.1375000000000028</v>
      </c>
      <c r="F2" s="6">
        <f>C2-(D2+E2)</f>
        <v>1.4499999999999993</v>
      </c>
      <c r="G2" s="6">
        <f t="shared" ref="G2:G41" si="1">E2^2</f>
        <v>4.5689062500000119</v>
      </c>
      <c r="H2" s="6">
        <f>F2^2</f>
        <v>2.1024999999999978</v>
      </c>
      <c r="I2" s="2"/>
      <c r="J2" s="1" t="s">
        <v>4</v>
      </c>
      <c r="K2" s="2">
        <f>AVERAGEA(C2:C5)</f>
        <v>14.55</v>
      </c>
      <c r="L2" s="1">
        <f t="shared" ref="L2:L11" si="2">$C$42</f>
        <v>12.412499999999998</v>
      </c>
      <c r="M2" s="3">
        <f t="shared" ref="M2:M11" si="3">K2-L2</f>
        <v>2.1375000000000028</v>
      </c>
    </row>
    <row r="3" spans="1:13" x14ac:dyDescent="0.25">
      <c r="A3" s="5" t="s">
        <v>4</v>
      </c>
      <c r="B3" s="5" t="s">
        <v>6</v>
      </c>
      <c r="C3" s="5">
        <v>16.399999999999999</v>
      </c>
      <c r="D3" s="6">
        <f t="shared" si="0"/>
        <v>12.412499999999998</v>
      </c>
      <c r="E3" s="6">
        <f>$K$2-D3</f>
        <v>2.1375000000000028</v>
      </c>
      <c r="F3" s="6">
        <f t="shared" ref="F2:F41" si="4">C3-(D3+E3)</f>
        <v>1.8499999999999979</v>
      </c>
      <c r="G3" s="6">
        <f t="shared" si="1"/>
        <v>4.5689062500000119</v>
      </c>
      <c r="H3" s="6">
        <f t="shared" ref="H2:H41" si="5">F3^2</f>
        <v>3.4224999999999923</v>
      </c>
      <c r="J3" s="1" t="s">
        <v>7</v>
      </c>
      <c r="K3" s="2">
        <f>AVERAGEA(C6:C9)</f>
        <v>14.3</v>
      </c>
      <c r="L3" s="1">
        <f t="shared" si="2"/>
        <v>12.412499999999998</v>
      </c>
      <c r="M3" s="3">
        <f t="shared" si="3"/>
        <v>1.8875000000000028</v>
      </c>
    </row>
    <row r="4" spans="1:13" x14ac:dyDescent="0.25">
      <c r="A4" s="5" t="s">
        <v>4</v>
      </c>
      <c r="B4" s="5" t="s">
        <v>8</v>
      </c>
      <c r="C4" s="5">
        <v>14.1</v>
      </c>
      <c r="D4" s="6">
        <f t="shared" si="0"/>
        <v>12.412499999999998</v>
      </c>
      <c r="E4" s="6">
        <f>$K$2-D4</f>
        <v>2.1375000000000028</v>
      </c>
      <c r="F4" s="6">
        <f t="shared" si="4"/>
        <v>-0.45000000000000107</v>
      </c>
      <c r="G4" s="6">
        <f t="shared" si="1"/>
        <v>4.5689062500000119</v>
      </c>
      <c r="H4" s="6">
        <f t="shared" si="5"/>
        <v>0.20250000000000096</v>
      </c>
      <c r="J4" s="1" t="s">
        <v>9</v>
      </c>
      <c r="K4" s="3">
        <f>AVERAGEA(C10:C13)</f>
        <v>14.225</v>
      </c>
      <c r="L4" s="1">
        <f t="shared" si="2"/>
        <v>12.412499999999998</v>
      </c>
      <c r="M4" s="3">
        <f t="shared" si="3"/>
        <v>1.8125000000000018</v>
      </c>
    </row>
    <row r="5" spans="1:13" x14ac:dyDescent="0.25">
      <c r="A5" s="5" t="s">
        <v>4</v>
      </c>
      <c r="B5" s="5" t="s">
        <v>10</v>
      </c>
      <c r="C5" s="5">
        <v>11.7</v>
      </c>
      <c r="D5" s="6">
        <f t="shared" si="0"/>
        <v>12.412499999999998</v>
      </c>
      <c r="E5" s="6">
        <f>$K$2-D5</f>
        <v>2.1375000000000028</v>
      </c>
      <c r="F5" s="6">
        <f t="shared" si="4"/>
        <v>-2.8500000000000014</v>
      </c>
      <c r="G5" s="6">
        <f t="shared" si="1"/>
        <v>4.5689062500000119</v>
      </c>
      <c r="H5" s="6">
        <f t="shared" si="5"/>
        <v>8.1225000000000076</v>
      </c>
      <c r="J5" s="1" t="s">
        <v>11</v>
      </c>
      <c r="K5" s="3">
        <f>AVERAGEA(C14:C17)</f>
        <v>14.125</v>
      </c>
      <c r="L5" s="1">
        <f t="shared" si="2"/>
        <v>12.412499999999998</v>
      </c>
      <c r="M5" s="3">
        <f t="shared" si="3"/>
        <v>1.7125000000000021</v>
      </c>
    </row>
    <row r="6" spans="1:13" x14ac:dyDescent="0.25">
      <c r="A6" s="5" t="s">
        <v>7</v>
      </c>
      <c r="B6" s="5" t="s">
        <v>5</v>
      </c>
      <c r="C6" s="5">
        <v>14.3</v>
      </c>
      <c r="D6" s="6">
        <f t="shared" si="0"/>
        <v>12.412499999999998</v>
      </c>
      <c r="E6" s="6">
        <f>$K$3-D6</f>
        <v>1.8875000000000028</v>
      </c>
      <c r="F6" s="6">
        <f t="shared" si="4"/>
        <v>0</v>
      </c>
      <c r="G6" s="6">
        <f t="shared" si="1"/>
        <v>3.5626562500000105</v>
      </c>
      <c r="H6" s="6">
        <f t="shared" si="5"/>
        <v>0</v>
      </c>
      <c r="J6" s="1" t="s">
        <v>12</v>
      </c>
      <c r="K6" s="4">
        <f>AVERAGEA(C18:C21)</f>
        <v>13</v>
      </c>
      <c r="L6" s="1">
        <f t="shared" si="2"/>
        <v>12.412499999999998</v>
      </c>
      <c r="M6" s="3">
        <f t="shared" si="3"/>
        <v>0.58750000000000213</v>
      </c>
    </row>
    <row r="7" spans="1:13" x14ac:dyDescent="0.25">
      <c r="A7" s="5" t="s">
        <v>7</v>
      </c>
      <c r="B7" s="5" t="s">
        <v>6</v>
      </c>
      <c r="C7" s="5">
        <v>14.5</v>
      </c>
      <c r="D7" s="6">
        <f t="shared" si="0"/>
        <v>12.412499999999998</v>
      </c>
      <c r="E7" s="6">
        <f>$K$3-D7</f>
        <v>1.8875000000000028</v>
      </c>
      <c r="F7" s="6">
        <f t="shared" si="4"/>
        <v>0.19999999999999929</v>
      </c>
      <c r="G7" s="6">
        <f t="shared" si="1"/>
        <v>3.5626562500000105</v>
      </c>
      <c r="H7" s="6">
        <f t="shared" si="5"/>
        <v>3.9999999999999716E-2</v>
      </c>
      <c r="J7" s="1" t="s">
        <v>13</v>
      </c>
      <c r="K7" s="3">
        <f>AVERAGEA(C22:C25)</f>
        <v>12.425000000000001</v>
      </c>
      <c r="L7" s="1">
        <f t="shared" si="2"/>
        <v>12.412499999999998</v>
      </c>
      <c r="M7" s="3">
        <f t="shared" si="3"/>
        <v>1.2500000000002842E-2</v>
      </c>
    </row>
    <row r="8" spans="1:13" x14ac:dyDescent="0.25">
      <c r="A8" s="5" t="s">
        <v>7</v>
      </c>
      <c r="B8" s="5" t="s">
        <v>8</v>
      </c>
      <c r="C8" s="5">
        <v>13.8</v>
      </c>
      <c r="D8" s="6">
        <f t="shared" si="0"/>
        <v>12.412499999999998</v>
      </c>
      <c r="E8" s="6">
        <f>$K$3-D8</f>
        <v>1.8875000000000028</v>
      </c>
      <c r="F8" s="6">
        <f t="shared" si="4"/>
        <v>-0.5</v>
      </c>
      <c r="G8" s="6">
        <f t="shared" si="1"/>
        <v>3.5626562500000105</v>
      </c>
      <c r="H8" s="6">
        <f t="shared" si="5"/>
        <v>0.25</v>
      </c>
      <c r="J8" s="1" t="s">
        <v>14</v>
      </c>
      <c r="K8" s="3">
        <f>AVERAGEA(C26:C29)</f>
        <v>12.05</v>
      </c>
      <c r="L8" s="1">
        <f t="shared" si="2"/>
        <v>12.412499999999998</v>
      </c>
      <c r="M8" s="3">
        <f t="shared" si="3"/>
        <v>-0.36249999999999716</v>
      </c>
    </row>
    <row r="9" spans="1:13" x14ac:dyDescent="0.25">
      <c r="A9" s="5" t="s">
        <v>7</v>
      </c>
      <c r="B9" s="5" t="s">
        <v>10</v>
      </c>
      <c r="C9" s="5">
        <v>14.6</v>
      </c>
      <c r="D9" s="6">
        <f t="shared" si="0"/>
        <v>12.412499999999998</v>
      </c>
      <c r="E9" s="6">
        <f>$K$3-D9</f>
        <v>1.8875000000000028</v>
      </c>
      <c r="F9" s="6">
        <f t="shared" si="4"/>
        <v>0.29999999999999893</v>
      </c>
      <c r="G9" s="6">
        <f t="shared" si="1"/>
        <v>3.5626562500000105</v>
      </c>
      <c r="H9" s="6">
        <f t="shared" si="5"/>
        <v>8.9999999999999358E-2</v>
      </c>
      <c r="J9" s="1" t="s">
        <v>15</v>
      </c>
      <c r="K9" s="3">
        <f>AVERAGEA(C30:C33)</f>
        <v>11.675000000000001</v>
      </c>
      <c r="L9" s="1">
        <f t="shared" si="2"/>
        <v>12.412499999999998</v>
      </c>
      <c r="M9" s="3">
        <f t="shared" si="3"/>
        <v>-0.73749999999999716</v>
      </c>
    </row>
    <row r="10" spans="1:13" x14ac:dyDescent="0.25">
      <c r="A10" s="5" t="s">
        <v>9</v>
      </c>
      <c r="B10" s="5" t="s">
        <v>5</v>
      </c>
      <c r="C10" s="5">
        <v>14.7</v>
      </c>
      <c r="D10" s="6">
        <f t="shared" si="0"/>
        <v>12.412499999999998</v>
      </c>
      <c r="E10" s="6">
        <f>$K$4-D10</f>
        <v>1.8125000000000018</v>
      </c>
      <c r="F10" s="6">
        <f t="shared" si="4"/>
        <v>0.47499999999999964</v>
      </c>
      <c r="G10" s="6">
        <f t="shared" si="1"/>
        <v>3.2851562500000062</v>
      </c>
      <c r="H10" s="6">
        <f t="shared" si="5"/>
        <v>0.22562499999999966</v>
      </c>
      <c r="J10" s="1" t="s">
        <v>16</v>
      </c>
      <c r="K10" s="4">
        <f>AVERAGEA(C34:C37)</f>
        <v>9</v>
      </c>
      <c r="L10" s="1">
        <f t="shared" si="2"/>
        <v>12.412499999999998</v>
      </c>
      <c r="M10" s="3">
        <f t="shared" si="3"/>
        <v>-3.4124999999999979</v>
      </c>
    </row>
    <row r="11" spans="1:13" x14ac:dyDescent="0.25">
      <c r="A11" s="5" t="s">
        <v>9</v>
      </c>
      <c r="B11" s="5" t="s">
        <v>6</v>
      </c>
      <c r="C11" s="5">
        <v>15.6</v>
      </c>
      <c r="D11" s="6">
        <f t="shared" si="0"/>
        <v>12.412499999999998</v>
      </c>
      <c r="E11" s="6">
        <f>$K$4-D11</f>
        <v>1.8125000000000018</v>
      </c>
      <c r="F11" s="6">
        <f t="shared" si="4"/>
        <v>1.375</v>
      </c>
      <c r="G11" s="6">
        <f t="shared" si="1"/>
        <v>3.2851562500000062</v>
      </c>
      <c r="H11" s="6">
        <f t="shared" si="5"/>
        <v>1.890625</v>
      </c>
      <c r="J11" s="1" t="s">
        <v>17</v>
      </c>
      <c r="K11" s="3">
        <f>AVERAGEA(C38:C41)</f>
        <v>8.7750000000000004</v>
      </c>
      <c r="L11" s="1">
        <f t="shared" si="2"/>
        <v>12.412499999999998</v>
      </c>
      <c r="M11" s="3">
        <f t="shared" si="3"/>
        <v>-3.6374999999999975</v>
      </c>
    </row>
    <row r="12" spans="1:13" x14ac:dyDescent="0.25">
      <c r="A12" s="5" t="s">
        <v>9</v>
      </c>
      <c r="B12" s="5" t="s">
        <v>8</v>
      </c>
      <c r="C12" s="5">
        <v>11.6</v>
      </c>
      <c r="D12" s="6">
        <f t="shared" si="0"/>
        <v>12.412499999999998</v>
      </c>
      <c r="E12" s="6">
        <f>$K$4-D12</f>
        <v>1.8125000000000018</v>
      </c>
      <c r="F12" s="6">
        <f t="shared" si="4"/>
        <v>-2.625</v>
      </c>
      <c r="G12" s="6">
        <f t="shared" si="1"/>
        <v>3.2851562500000062</v>
      </c>
      <c r="H12" s="6">
        <f t="shared" si="5"/>
        <v>6.890625</v>
      </c>
    </row>
    <row r="13" spans="1:13" x14ac:dyDescent="0.25">
      <c r="A13" s="5" t="s">
        <v>9</v>
      </c>
      <c r="B13" s="5" t="s">
        <v>10</v>
      </c>
      <c r="C13" s="5">
        <v>15</v>
      </c>
      <c r="D13" s="6">
        <f t="shared" si="0"/>
        <v>12.412499999999998</v>
      </c>
      <c r="E13" s="6">
        <f>$K$4-D13</f>
        <v>1.8125000000000018</v>
      </c>
      <c r="F13" s="6">
        <f t="shared" si="4"/>
        <v>0.77500000000000036</v>
      </c>
      <c r="G13" s="6">
        <f t="shared" si="1"/>
        <v>3.2851562500000062</v>
      </c>
      <c r="H13" s="6">
        <f t="shared" si="5"/>
        <v>0.60062500000000052</v>
      </c>
    </row>
    <row r="14" spans="1:13" x14ac:dyDescent="0.25">
      <c r="A14" s="5" t="s">
        <v>11</v>
      </c>
      <c r="B14" s="5" t="s">
        <v>5</v>
      </c>
      <c r="C14" s="5">
        <v>13.6</v>
      </c>
      <c r="D14" s="6">
        <f t="shared" si="0"/>
        <v>12.412499999999998</v>
      </c>
      <c r="E14" s="6">
        <f>$K$5-D14</f>
        <v>1.7125000000000021</v>
      </c>
      <c r="F14" s="6">
        <f t="shared" si="4"/>
        <v>-0.52500000000000036</v>
      </c>
      <c r="G14" s="6">
        <f t="shared" si="1"/>
        <v>2.9326562500000075</v>
      </c>
      <c r="H14" s="6">
        <f t="shared" si="5"/>
        <v>0.2756250000000004</v>
      </c>
    </row>
    <row r="15" spans="1:13" x14ac:dyDescent="0.25">
      <c r="A15" s="5" t="s">
        <v>11</v>
      </c>
      <c r="B15" s="5" t="s">
        <v>6</v>
      </c>
      <c r="C15" s="5">
        <v>13.1</v>
      </c>
      <c r="D15" s="6">
        <f t="shared" si="0"/>
        <v>12.412499999999998</v>
      </c>
      <c r="E15" s="6">
        <f>$K$5-D15</f>
        <v>1.7125000000000021</v>
      </c>
      <c r="F15" s="6">
        <f t="shared" si="4"/>
        <v>-1.0250000000000004</v>
      </c>
      <c r="G15" s="6">
        <f t="shared" si="1"/>
        <v>2.9326562500000075</v>
      </c>
      <c r="H15" s="6">
        <f t="shared" si="5"/>
        <v>1.0506250000000008</v>
      </c>
    </row>
    <row r="16" spans="1:13" x14ac:dyDescent="0.25">
      <c r="A16" s="5" t="s">
        <v>11</v>
      </c>
      <c r="B16" s="5" t="s">
        <v>8</v>
      </c>
      <c r="C16" s="5">
        <v>14.7</v>
      </c>
      <c r="D16" s="6">
        <f t="shared" si="0"/>
        <v>12.412499999999998</v>
      </c>
      <c r="E16" s="6">
        <f>$K$5-D16</f>
        <v>1.7125000000000021</v>
      </c>
      <c r="F16" s="6">
        <f t="shared" si="4"/>
        <v>0.57499999999999929</v>
      </c>
      <c r="G16" s="6">
        <f t="shared" si="1"/>
        <v>2.9326562500000075</v>
      </c>
      <c r="H16" s="6">
        <f t="shared" si="5"/>
        <v>0.33062499999999917</v>
      </c>
    </row>
    <row r="17" spans="1:8" x14ac:dyDescent="0.25">
      <c r="A17" s="5" t="s">
        <v>11</v>
      </c>
      <c r="B17" s="5" t="s">
        <v>10</v>
      </c>
      <c r="C17" s="5">
        <v>15.1</v>
      </c>
      <c r="D17" s="6">
        <f t="shared" si="0"/>
        <v>12.412499999999998</v>
      </c>
      <c r="E17" s="6">
        <f>$K$5-D17</f>
        <v>1.7125000000000021</v>
      </c>
      <c r="F17" s="6">
        <f t="shared" si="4"/>
        <v>0.97499999999999964</v>
      </c>
      <c r="G17" s="6">
        <f t="shared" si="1"/>
        <v>2.9326562500000075</v>
      </c>
      <c r="H17" s="6">
        <f t="shared" si="5"/>
        <v>0.95062499999999928</v>
      </c>
    </row>
    <row r="18" spans="1:8" x14ac:dyDescent="0.25">
      <c r="A18" s="5" t="s">
        <v>12</v>
      </c>
      <c r="B18" s="5" t="s">
        <v>5</v>
      </c>
      <c r="C18" s="5">
        <v>11.6</v>
      </c>
      <c r="D18" s="6">
        <f t="shared" si="0"/>
        <v>12.412499999999998</v>
      </c>
      <c r="E18" s="6">
        <f>$K$6-D18</f>
        <v>0.58750000000000213</v>
      </c>
      <c r="F18" s="6">
        <f t="shared" si="4"/>
        <v>-1.4000000000000004</v>
      </c>
      <c r="G18" s="6">
        <f t="shared" si="1"/>
        <v>0.3451562500000025</v>
      </c>
      <c r="H18" s="6">
        <f t="shared" si="5"/>
        <v>1.9600000000000011</v>
      </c>
    </row>
    <row r="19" spans="1:8" x14ac:dyDescent="0.25">
      <c r="A19" s="5" t="s">
        <v>12</v>
      </c>
      <c r="B19" s="5" t="s">
        <v>6</v>
      </c>
      <c r="C19" s="5">
        <v>10.5</v>
      </c>
      <c r="D19" s="6">
        <f t="shared" si="0"/>
        <v>12.412499999999998</v>
      </c>
      <c r="E19" s="6">
        <f>$K$6-D19</f>
        <v>0.58750000000000213</v>
      </c>
      <c r="F19" s="6">
        <f t="shared" si="4"/>
        <v>-2.5</v>
      </c>
      <c r="G19" s="6">
        <f t="shared" si="1"/>
        <v>0.3451562500000025</v>
      </c>
      <c r="H19" s="6">
        <f t="shared" si="5"/>
        <v>6.25</v>
      </c>
    </row>
    <row r="20" spans="1:8" x14ac:dyDescent="0.25">
      <c r="A20" s="5" t="s">
        <v>12</v>
      </c>
      <c r="B20" s="5" t="s">
        <v>8</v>
      </c>
      <c r="C20" s="5">
        <v>15.9</v>
      </c>
      <c r="D20" s="6">
        <f t="shared" si="0"/>
        <v>12.412499999999998</v>
      </c>
      <c r="E20" s="6">
        <f>$K$6-D20</f>
        <v>0.58750000000000213</v>
      </c>
      <c r="F20" s="6">
        <f t="shared" si="4"/>
        <v>2.9000000000000004</v>
      </c>
      <c r="G20" s="6">
        <f t="shared" si="1"/>
        <v>0.3451562500000025</v>
      </c>
      <c r="H20" s="6">
        <f t="shared" si="5"/>
        <v>8.4100000000000019</v>
      </c>
    </row>
    <row r="21" spans="1:8" x14ac:dyDescent="0.25">
      <c r="A21" s="5" t="s">
        <v>12</v>
      </c>
      <c r="B21" s="5" t="s">
        <v>10</v>
      </c>
      <c r="C21" s="5">
        <v>14</v>
      </c>
      <c r="D21" s="6">
        <f t="shared" si="0"/>
        <v>12.412499999999998</v>
      </c>
      <c r="E21" s="6">
        <f>$K$6-D21</f>
        <v>0.58750000000000213</v>
      </c>
      <c r="F21" s="6">
        <f t="shared" si="4"/>
        <v>1</v>
      </c>
      <c r="G21" s="6">
        <f t="shared" si="1"/>
        <v>0.3451562500000025</v>
      </c>
      <c r="H21" s="6">
        <f t="shared" si="5"/>
        <v>1</v>
      </c>
    </row>
    <row r="22" spans="1:8" x14ac:dyDescent="0.25">
      <c r="A22" s="5" t="s">
        <v>13</v>
      </c>
      <c r="B22" s="5" t="s">
        <v>5</v>
      </c>
      <c r="C22" s="5">
        <v>11</v>
      </c>
      <c r="D22" s="6">
        <f t="shared" si="0"/>
        <v>12.412499999999998</v>
      </c>
      <c r="E22" s="6">
        <f>$K$7-D22</f>
        <v>1.2500000000002842E-2</v>
      </c>
      <c r="F22" s="6">
        <f t="shared" si="4"/>
        <v>-1.4250000000000007</v>
      </c>
      <c r="G22" s="6">
        <f t="shared" si="1"/>
        <v>1.5625000000007105E-4</v>
      </c>
      <c r="H22" s="6">
        <f t="shared" si="5"/>
        <v>2.0306250000000019</v>
      </c>
    </row>
    <row r="23" spans="1:8" x14ac:dyDescent="0.25">
      <c r="A23" s="5" t="s">
        <v>13</v>
      </c>
      <c r="B23" s="5" t="s">
        <v>6</v>
      </c>
      <c r="C23" s="5">
        <v>15</v>
      </c>
      <c r="D23" s="6">
        <f t="shared" si="0"/>
        <v>12.412499999999998</v>
      </c>
      <c r="E23" s="6">
        <f>$K$7-D23</f>
        <v>1.2500000000002842E-2</v>
      </c>
      <c r="F23" s="6">
        <f t="shared" si="4"/>
        <v>2.5749999999999993</v>
      </c>
      <c r="G23" s="6">
        <f t="shared" si="1"/>
        <v>1.5625000000007105E-4</v>
      </c>
      <c r="H23" s="6">
        <f t="shared" si="5"/>
        <v>6.6306249999999967</v>
      </c>
    </row>
    <row r="24" spans="1:8" x14ac:dyDescent="0.25">
      <c r="A24" s="5" t="s">
        <v>13</v>
      </c>
      <c r="B24" s="5" t="s">
        <v>8</v>
      </c>
      <c r="C24" s="5">
        <v>10.7</v>
      </c>
      <c r="D24" s="6">
        <f t="shared" si="0"/>
        <v>12.412499999999998</v>
      </c>
      <c r="E24" s="6">
        <f>$K$7-D24</f>
        <v>1.2500000000002842E-2</v>
      </c>
      <c r="F24" s="6">
        <f t="shared" si="4"/>
        <v>-1.7250000000000014</v>
      </c>
      <c r="G24" s="6">
        <f t="shared" si="1"/>
        <v>1.5625000000007105E-4</v>
      </c>
      <c r="H24" s="6">
        <f t="shared" si="5"/>
        <v>2.9756250000000048</v>
      </c>
    </row>
    <row r="25" spans="1:8" x14ac:dyDescent="0.25">
      <c r="A25" s="5" t="s">
        <v>13</v>
      </c>
      <c r="B25" s="5" t="s">
        <v>10</v>
      </c>
      <c r="C25" s="5">
        <v>13</v>
      </c>
      <c r="D25" s="6">
        <f t="shared" si="0"/>
        <v>12.412499999999998</v>
      </c>
      <c r="E25" s="6">
        <f>$K$7-D25</f>
        <v>1.2500000000002842E-2</v>
      </c>
      <c r="F25" s="6">
        <f t="shared" si="4"/>
        <v>0.57499999999999929</v>
      </c>
      <c r="G25" s="6">
        <f t="shared" si="1"/>
        <v>1.5625000000007105E-4</v>
      </c>
      <c r="H25" s="6">
        <f t="shared" si="5"/>
        <v>0.33062499999999917</v>
      </c>
    </row>
    <row r="26" spans="1:8" x14ac:dyDescent="0.25">
      <c r="A26" s="5" t="s">
        <v>14</v>
      </c>
      <c r="B26" s="5" t="s">
        <v>5</v>
      </c>
      <c r="C26" s="5">
        <v>13.1</v>
      </c>
      <c r="D26" s="6">
        <f t="shared" si="0"/>
        <v>12.412499999999998</v>
      </c>
      <c r="E26" s="6">
        <f>$K$8-D26</f>
        <v>-0.36249999999999716</v>
      </c>
      <c r="F26" s="6">
        <f t="shared" si="4"/>
        <v>1.0499999999999989</v>
      </c>
      <c r="G26" s="6">
        <f t="shared" si="1"/>
        <v>0.13140624999999795</v>
      </c>
      <c r="H26" s="6">
        <f t="shared" si="5"/>
        <v>1.1024999999999978</v>
      </c>
    </row>
    <row r="27" spans="1:8" x14ac:dyDescent="0.25">
      <c r="A27" s="5" t="s">
        <v>14</v>
      </c>
      <c r="B27" s="5" t="s">
        <v>6</v>
      </c>
      <c r="C27" s="5">
        <v>10.3</v>
      </c>
      <c r="D27" s="6">
        <f t="shared" si="0"/>
        <v>12.412499999999998</v>
      </c>
      <c r="E27" s="6">
        <f>$K$8-D27</f>
        <v>-0.36249999999999716</v>
      </c>
      <c r="F27" s="6">
        <f t="shared" si="4"/>
        <v>-1.75</v>
      </c>
      <c r="G27" s="6">
        <f t="shared" si="1"/>
        <v>0.13140624999999795</v>
      </c>
      <c r="H27" s="6">
        <f t="shared" si="5"/>
        <v>3.0625</v>
      </c>
    </row>
    <row r="28" spans="1:8" x14ac:dyDescent="0.25">
      <c r="A28" s="5" t="s">
        <v>14</v>
      </c>
      <c r="B28" s="5" t="s">
        <v>8</v>
      </c>
      <c r="C28" s="5">
        <v>14.3</v>
      </c>
      <c r="D28" s="6">
        <f t="shared" si="0"/>
        <v>12.412499999999998</v>
      </c>
      <c r="E28" s="6">
        <f>$K$8-D28</f>
        <v>-0.36249999999999716</v>
      </c>
      <c r="F28" s="6">
        <f t="shared" si="4"/>
        <v>2.25</v>
      </c>
      <c r="G28" s="6">
        <f t="shared" si="1"/>
        <v>0.13140624999999795</v>
      </c>
      <c r="H28" s="6">
        <f t="shared" si="5"/>
        <v>5.0625</v>
      </c>
    </row>
    <row r="29" spans="1:8" x14ac:dyDescent="0.25">
      <c r="A29" s="5" t="s">
        <v>14</v>
      </c>
      <c r="B29" s="5" t="s">
        <v>10</v>
      </c>
      <c r="C29" s="5">
        <v>10.5</v>
      </c>
      <c r="D29" s="6">
        <f t="shared" si="0"/>
        <v>12.412499999999998</v>
      </c>
      <c r="E29" s="6">
        <f>$K$8-D29</f>
        <v>-0.36249999999999716</v>
      </c>
      <c r="F29" s="6">
        <f t="shared" si="4"/>
        <v>-1.5500000000000007</v>
      </c>
      <c r="G29" s="6">
        <f t="shared" si="1"/>
        <v>0.13140624999999795</v>
      </c>
      <c r="H29" s="6">
        <f t="shared" si="5"/>
        <v>2.4025000000000021</v>
      </c>
    </row>
    <row r="30" spans="1:8" x14ac:dyDescent="0.25">
      <c r="A30" s="5" t="s">
        <v>15</v>
      </c>
      <c r="B30" s="5" t="s">
        <v>5</v>
      </c>
      <c r="C30" s="5">
        <v>10.3</v>
      </c>
      <c r="D30" s="6">
        <f t="shared" si="0"/>
        <v>12.412499999999998</v>
      </c>
      <c r="E30" s="6">
        <f>$K$9-D30</f>
        <v>-0.73749999999999716</v>
      </c>
      <c r="F30" s="6">
        <f t="shared" si="4"/>
        <v>-1.375</v>
      </c>
      <c r="G30" s="6">
        <f t="shared" si="1"/>
        <v>0.54390624999999582</v>
      </c>
      <c r="H30" s="6">
        <f t="shared" si="5"/>
        <v>1.890625</v>
      </c>
    </row>
    <row r="31" spans="1:8" x14ac:dyDescent="0.25">
      <c r="A31" s="5" t="s">
        <v>15</v>
      </c>
      <c r="B31" s="5" t="s">
        <v>6</v>
      </c>
      <c r="C31" s="5">
        <v>13.2</v>
      </c>
      <c r="D31" s="6">
        <f t="shared" si="0"/>
        <v>12.412499999999998</v>
      </c>
      <c r="E31" s="6">
        <f>$K$9-D31</f>
        <v>-0.73749999999999716</v>
      </c>
      <c r="F31" s="6">
        <f t="shared" si="4"/>
        <v>1.5249999999999986</v>
      </c>
      <c r="G31" s="6">
        <f t="shared" si="1"/>
        <v>0.54390624999999582</v>
      </c>
      <c r="H31" s="6">
        <f t="shared" si="5"/>
        <v>2.3256249999999956</v>
      </c>
    </row>
    <row r="32" spans="1:8" x14ac:dyDescent="0.25">
      <c r="A32" s="5" t="s">
        <v>15</v>
      </c>
      <c r="B32" s="5" t="s">
        <v>8</v>
      </c>
      <c r="C32" s="5">
        <v>10.199999999999999</v>
      </c>
      <c r="D32" s="6">
        <f t="shared" si="0"/>
        <v>12.412499999999998</v>
      </c>
      <c r="E32" s="6">
        <f>$K$9-D32</f>
        <v>-0.73749999999999716</v>
      </c>
      <c r="F32" s="6">
        <f t="shared" si="4"/>
        <v>-1.4750000000000014</v>
      </c>
      <c r="G32" s="6">
        <f t="shared" si="1"/>
        <v>0.54390624999999582</v>
      </c>
      <c r="H32" s="6">
        <f t="shared" si="5"/>
        <v>2.1756250000000041</v>
      </c>
    </row>
    <row r="33" spans="1:9" x14ac:dyDescent="0.25">
      <c r="A33" s="5" t="s">
        <v>15</v>
      </c>
      <c r="B33" s="5" t="s">
        <v>10</v>
      </c>
      <c r="C33" s="5">
        <v>13</v>
      </c>
      <c r="D33" s="6">
        <f t="shared" si="0"/>
        <v>12.412499999999998</v>
      </c>
      <c r="E33" s="6">
        <f>$K$9-D33</f>
        <v>-0.73749999999999716</v>
      </c>
      <c r="F33" s="6">
        <f t="shared" si="4"/>
        <v>1.3249999999999993</v>
      </c>
      <c r="G33" s="6">
        <f t="shared" si="1"/>
        <v>0.54390624999999582</v>
      </c>
      <c r="H33" s="6">
        <f t="shared" si="5"/>
        <v>1.7556249999999982</v>
      </c>
    </row>
    <row r="34" spans="1:9" x14ac:dyDescent="0.25">
      <c r="A34" s="5" t="s">
        <v>16</v>
      </c>
      <c r="B34" s="5" t="s">
        <v>5</v>
      </c>
      <c r="C34" s="5">
        <v>8.5</v>
      </c>
      <c r="D34" s="6">
        <f t="shared" si="0"/>
        <v>12.412499999999998</v>
      </c>
      <c r="E34" s="6">
        <f>$K$10-D34</f>
        <v>-3.4124999999999979</v>
      </c>
      <c r="F34" s="6">
        <f t="shared" si="4"/>
        <v>-0.5</v>
      </c>
      <c r="G34" s="6">
        <f t="shared" si="1"/>
        <v>11.645156249999985</v>
      </c>
      <c r="H34" s="6">
        <f t="shared" si="5"/>
        <v>0.25</v>
      </c>
    </row>
    <row r="35" spans="1:9" x14ac:dyDescent="0.25">
      <c r="A35" s="5" t="s">
        <v>16</v>
      </c>
      <c r="B35" s="5" t="s">
        <v>6</v>
      </c>
      <c r="C35" s="5">
        <v>8.6</v>
      </c>
      <c r="D35" s="6">
        <f t="shared" si="0"/>
        <v>12.412499999999998</v>
      </c>
      <c r="E35" s="6">
        <f>$K$10-D35</f>
        <v>-3.4124999999999979</v>
      </c>
      <c r="F35" s="6">
        <f t="shared" si="4"/>
        <v>-0.40000000000000036</v>
      </c>
      <c r="G35" s="6">
        <f t="shared" si="1"/>
        <v>11.645156249999985</v>
      </c>
      <c r="H35" s="6">
        <f t="shared" si="5"/>
        <v>0.16000000000000028</v>
      </c>
    </row>
    <row r="36" spans="1:9" x14ac:dyDescent="0.25">
      <c r="A36" s="5" t="s">
        <v>16</v>
      </c>
      <c r="B36" s="5" t="s">
        <v>8</v>
      </c>
      <c r="C36" s="5">
        <v>9.5</v>
      </c>
      <c r="D36" s="6">
        <f t="shared" si="0"/>
        <v>12.412499999999998</v>
      </c>
      <c r="E36" s="6">
        <f>$K$10-D36</f>
        <v>-3.4124999999999979</v>
      </c>
      <c r="F36" s="6">
        <f t="shared" si="4"/>
        <v>0.5</v>
      </c>
      <c r="G36" s="6">
        <f t="shared" si="1"/>
        <v>11.645156249999985</v>
      </c>
      <c r="H36" s="6">
        <f t="shared" si="5"/>
        <v>0.25</v>
      </c>
    </row>
    <row r="37" spans="1:9" x14ac:dyDescent="0.25">
      <c r="A37" s="5" t="s">
        <v>16</v>
      </c>
      <c r="B37" s="5" t="s">
        <v>10</v>
      </c>
      <c r="C37" s="5">
        <v>9.4</v>
      </c>
      <c r="D37" s="6">
        <f t="shared" si="0"/>
        <v>12.412499999999998</v>
      </c>
      <c r="E37" s="6">
        <f>$K$10-D37</f>
        <v>-3.4124999999999979</v>
      </c>
      <c r="F37" s="6">
        <f t="shared" si="4"/>
        <v>0.40000000000000036</v>
      </c>
      <c r="G37" s="6">
        <f t="shared" si="1"/>
        <v>11.645156249999985</v>
      </c>
      <c r="H37" s="6">
        <f t="shared" si="5"/>
        <v>0.16000000000000028</v>
      </c>
    </row>
    <row r="38" spans="1:9" x14ac:dyDescent="0.25">
      <c r="A38" s="5" t="s">
        <v>17</v>
      </c>
      <c r="B38" s="5" t="s">
        <v>5</v>
      </c>
      <c r="C38" s="5">
        <v>8.1999999999999993</v>
      </c>
      <c r="D38" s="6">
        <f t="shared" si="0"/>
        <v>12.412499999999998</v>
      </c>
      <c r="E38" s="6">
        <f>$K$11-D38</f>
        <v>-3.6374999999999975</v>
      </c>
      <c r="F38" s="6">
        <f t="shared" si="4"/>
        <v>-0.57500000000000107</v>
      </c>
      <c r="G38" s="6">
        <f t="shared" si="1"/>
        <v>13.231406249999981</v>
      </c>
      <c r="H38" s="6">
        <f t="shared" si="5"/>
        <v>0.33062500000000122</v>
      </c>
    </row>
    <row r="39" spans="1:9" x14ac:dyDescent="0.25">
      <c r="A39" s="5" t="s">
        <v>17</v>
      </c>
      <c r="B39" s="5" t="s">
        <v>6</v>
      </c>
      <c r="C39" s="5">
        <v>8.4</v>
      </c>
      <c r="D39" s="6">
        <f t="shared" si="0"/>
        <v>12.412499999999998</v>
      </c>
      <c r="E39" s="6">
        <f>$K$11-D39</f>
        <v>-3.6374999999999975</v>
      </c>
      <c r="F39" s="6">
        <f t="shared" si="4"/>
        <v>-0.375</v>
      </c>
      <c r="G39" s="6">
        <f t="shared" si="1"/>
        <v>13.231406249999981</v>
      </c>
      <c r="H39" s="6">
        <f t="shared" si="5"/>
        <v>0.140625</v>
      </c>
    </row>
    <row r="40" spans="1:9" x14ac:dyDescent="0.25">
      <c r="A40" s="5" t="s">
        <v>17</v>
      </c>
      <c r="B40" s="5" t="s">
        <v>8</v>
      </c>
      <c r="C40" s="5">
        <v>9.3000000000000007</v>
      </c>
      <c r="D40" s="6">
        <f t="shared" si="0"/>
        <v>12.412499999999998</v>
      </c>
      <c r="E40" s="6">
        <f>$K$11-D40</f>
        <v>-3.6374999999999975</v>
      </c>
      <c r="F40" s="6">
        <f t="shared" si="4"/>
        <v>0.52500000000000036</v>
      </c>
      <c r="G40" s="6">
        <f t="shared" si="1"/>
        <v>13.231406249999981</v>
      </c>
      <c r="H40" s="6">
        <f t="shared" si="5"/>
        <v>0.2756250000000004</v>
      </c>
    </row>
    <row r="41" spans="1:9" x14ac:dyDescent="0.25">
      <c r="A41" s="5" t="s">
        <v>17</v>
      </c>
      <c r="B41" s="5" t="s">
        <v>10</v>
      </c>
      <c r="C41" s="5">
        <v>9.1999999999999993</v>
      </c>
      <c r="D41" s="6">
        <f t="shared" si="0"/>
        <v>12.412499999999998</v>
      </c>
      <c r="E41" s="6">
        <f>$K$11-D41</f>
        <v>-3.6374999999999975</v>
      </c>
      <c r="F41" s="6">
        <f t="shared" si="4"/>
        <v>0.42499999999999893</v>
      </c>
      <c r="G41" s="6">
        <f t="shared" si="1"/>
        <v>13.231406249999981</v>
      </c>
      <c r="H41" s="6">
        <f t="shared" si="5"/>
        <v>0.18062499999999909</v>
      </c>
    </row>
    <row r="42" spans="1:9" x14ac:dyDescent="0.25">
      <c r="C42" s="1">
        <f>AVERAGEA(C2:C41)</f>
        <v>12.412499999999998</v>
      </c>
      <c r="G42" s="1">
        <f>SUM(G2:G41)</f>
        <v>160.98625000000004</v>
      </c>
      <c r="H42" s="1">
        <f>SUM(H2:H41)</f>
        <v>77.557500000000005</v>
      </c>
      <c r="I42" s="1">
        <f>G42+H42</f>
        <v>238.54375000000005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ignoredErrors>
    <ignoredError sqref="K2:K1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205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DIC-Pimentel-Gomes-2002-Org-Cal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Revisor</cp:lastModifiedBy>
  <cp:revision>9</cp:revision>
  <dcterms:created xsi:type="dcterms:W3CDTF">2026-10-07T16:58:19Z</dcterms:created>
  <dcterms:modified xsi:type="dcterms:W3CDTF">2026-10-07T20:49:49Z</dcterms:modified>
  <dc:language>en-US</dc:language>
</cp:coreProperties>
</file>